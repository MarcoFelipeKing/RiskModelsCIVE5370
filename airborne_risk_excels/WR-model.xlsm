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120" yWindow="15" windowWidth="19035" windowHeight="12015"/>
  </bookViews>
  <sheets>
    <sheet name="Sheet1" sheetId="1" r:id="rId1"/>
    <sheet name="Sheet2" sheetId="2" r:id="rId2"/>
    <sheet name="Sheet3" sheetId="3" r:id="rId3"/>
  </sheets>
  <calcPr calcId="145621"/>
</workbook>
</file>

<file path=xl/calcChain.xml><?xml version="1.0" encoding="utf-8"?>
<calcChain xmlns="http://schemas.openxmlformats.org/spreadsheetml/2006/main">
  <c r="C9" i="1" l="1"/>
  <c r="H6" i="1"/>
  <c r="D9" i="1"/>
  <c r="L5" i="1"/>
  <c r="B10" i="1" s="1"/>
  <c r="H4" i="1"/>
  <c r="C10" i="1" l="1"/>
  <c r="B11" i="1"/>
  <c r="D10" i="1"/>
  <c r="C11" i="1" l="1"/>
  <c r="D11" i="1"/>
  <c r="B12" i="1"/>
  <c r="B13" i="1" l="1"/>
  <c r="D12" i="1"/>
  <c r="C12" i="1"/>
  <c r="B14" i="1" l="1"/>
  <c r="D13" i="1"/>
  <c r="C13" i="1"/>
  <c r="C14" i="1" l="1"/>
  <c r="D14" i="1"/>
  <c r="B15" i="1"/>
  <c r="C15" i="1" l="1"/>
  <c r="B16" i="1"/>
  <c r="D15" i="1"/>
  <c r="B17" i="1" l="1"/>
  <c r="D16" i="1"/>
  <c r="C16" i="1"/>
  <c r="B18" i="1" l="1"/>
  <c r="D17" i="1"/>
  <c r="C17" i="1"/>
  <c r="C18" i="1" l="1"/>
  <c r="B19" i="1"/>
  <c r="D18" i="1"/>
  <c r="C19" i="1" l="1"/>
  <c r="D19" i="1"/>
  <c r="B20" i="1"/>
  <c r="B21" i="1" l="1"/>
  <c r="D20" i="1"/>
  <c r="C20" i="1"/>
  <c r="B22" i="1" l="1"/>
  <c r="D21" i="1"/>
  <c r="C21" i="1"/>
  <c r="C22" i="1" l="1"/>
  <c r="D22" i="1"/>
  <c r="B23" i="1"/>
  <c r="C23" i="1" l="1"/>
  <c r="D23" i="1"/>
  <c r="B24" i="1"/>
  <c r="B25" i="1" l="1"/>
  <c r="D24" i="1"/>
  <c r="C24" i="1"/>
  <c r="B26" i="1" l="1"/>
  <c r="D25" i="1"/>
  <c r="C25" i="1"/>
  <c r="C26" i="1" l="1"/>
  <c r="B27" i="1"/>
  <c r="D26" i="1"/>
  <c r="C27" i="1" l="1"/>
  <c r="B28" i="1"/>
  <c r="D27" i="1"/>
  <c r="B29" i="1" l="1"/>
  <c r="D28" i="1"/>
  <c r="C28" i="1"/>
  <c r="B30" i="1" l="1"/>
  <c r="D29" i="1"/>
  <c r="C29" i="1"/>
  <c r="C30" i="1" l="1"/>
  <c r="D30" i="1"/>
  <c r="B31" i="1"/>
  <c r="C31" i="1" l="1"/>
  <c r="D31" i="1"/>
  <c r="B32" i="1"/>
  <c r="B33" i="1" l="1"/>
  <c r="D32" i="1"/>
  <c r="C32" i="1"/>
  <c r="B34" i="1" l="1"/>
  <c r="D33" i="1"/>
  <c r="C33" i="1"/>
  <c r="C34" i="1" l="1"/>
  <c r="B35" i="1"/>
  <c r="D34" i="1"/>
  <c r="C35" i="1" l="1"/>
  <c r="B36" i="1"/>
  <c r="D35" i="1"/>
  <c r="B37" i="1" l="1"/>
  <c r="D36" i="1"/>
  <c r="C36" i="1"/>
  <c r="B38" i="1" l="1"/>
  <c r="D37" i="1"/>
  <c r="C37" i="1"/>
  <c r="C38" i="1" l="1"/>
  <c r="D38" i="1"/>
  <c r="B39" i="1"/>
  <c r="D39" i="1" l="1"/>
  <c r="B40" i="1"/>
  <c r="C39" i="1"/>
  <c r="C40" i="1" l="1"/>
  <c r="B41" i="1"/>
  <c r="D40" i="1"/>
  <c r="C41" i="1" l="1"/>
  <c r="B42" i="1"/>
  <c r="D41" i="1"/>
  <c r="D42" i="1" l="1"/>
  <c r="C42" i="1"/>
  <c r="B43" i="1"/>
  <c r="D43" i="1" l="1"/>
  <c r="C43" i="1"/>
  <c r="B44" i="1"/>
  <c r="C44" i="1" l="1"/>
  <c r="B45" i="1"/>
  <c r="D44" i="1"/>
  <c r="C45" i="1" l="1"/>
  <c r="B46" i="1"/>
  <c r="D45" i="1"/>
  <c r="D46" i="1" l="1"/>
  <c r="B47" i="1"/>
  <c r="C46" i="1"/>
  <c r="D47" i="1" l="1"/>
  <c r="B48" i="1"/>
  <c r="C47" i="1"/>
  <c r="C48" i="1" l="1"/>
  <c r="B49" i="1"/>
  <c r="D48" i="1"/>
  <c r="C49" i="1" l="1"/>
  <c r="B50" i="1"/>
  <c r="D49" i="1"/>
  <c r="D50" i="1" l="1"/>
  <c r="C50" i="1"/>
  <c r="B51" i="1"/>
  <c r="D51" i="1" l="1"/>
  <c r="C51" i="1"/>
  <c r="B52" i="1"/>
  <c r="C52" i="1" l="1"/>
  <c r="B53" i="1"/>
  <c r="D52" i="1"/>
  <c r="C53" i="1" l="1"/>
  <c r="B54" i="1"/>
  <c r="D53" i="1"/>
  <c r="D54" i="1" l="1"/>
  <c r="B55" i="1"/>
  <c r="C54" i="1"/>
  <c r="D55" i="1" l="1"/>
  <c r="B56" i="1"/>
  <c r="C55" i="1"/>
  <c r="C56" i="1" l="1"/>
  <c r="B57" i="1"/>
  <c r="D56" i="1"/>
  <c r="C57" i="1" l="1"/>
  <c r="B58" i="1"/>
  <c r="D57" i="1"/>
  <c r="D58" i="1" l="1"/>
  <c r="C58" i="1"/>
  <c r="B59" i="1"/>
  <c r="D59" i="1" l="1"/>
  <c r="C59" i="1"/>
  <c r="B60" i="1"/>
  <c r="C60" i="1" l="1"/>
  <c r="B61" i="1"/>
  <c r="D60" i="1"/>
  <c r="C61" i="1" l="1"/>
  <c r="B62" i="1"/>
  <c r="D61" i="1"/>
  <c r="D62" i="1" l="1"/>
  <c r="B63" i="1"/>
  <c r="C62" i="1"/>
  <c r="D63" i="1" l="1"/>
  <c r="B64" i="1"/>
  <c r="C63" i="1"/>
  <c r="C64" i="1" l="1"/>
  <c r="B65" i="1"/>
  <c r="D64" i="1"/>
  <c r="C65" i="1" l="1"/>
  <c r="B66" i="1"/>
  <c r="D65" i="1"/>
  <c r="D66" i="1" l="1"/>
  <c r="C66" i="1"/>
  <c r="B67" i="1"/>
  <c r="D67" i="1" l="1"/>
  <c r="C67" i="1"/>
  <c r="B68" i="1"/>
  <c r="C68" i="1" l="1"/>
  <c r="B69" i="1"/>
  <c r="D68" i="1"/>
  <c r="C69" i="1" l="1"/>
  <c r="B70" i="1"/>
  <c r="D69" i="1"/>
  <c r="D70" i="1" l="1"/>
  <c r="B71" i="1"/>
  <c r="C70" i="1"/>
  <c r="D71" i="1" l="1"/>
  <c r="B72" i="1"/>
  <c r="C71" i="1"/>
  <c r="C72" i="1" l="1"/>
  <c r="B73" i="1"/>
  <c r="D72" i="1"/>
  <c r="C73" i="1" l="1"/>
  <c r="B74" i="1"/>
  <c r="D73" i="1"/>
  <c r="D74" i="1" l="1"/>
  <c r="C74" i="1"/>
  <c r="B75" i="1"/>
  <c r="C75" i="1" l="1"/>
  <c r="D75" i="1"/>
  <c r="B76" i="1"/>
  <c r="B77" i="1" l="1"/>
  <c r="D76" i="1"/>
  <c r="C76" i="1"/>
  <c r="B78" i="1" l="1"/>
  <c r="C77" i="1"/>
  <c r="D77" i="1"/>
  <c r="D78" i="1" l="1"/>
  <c r="B79" i="1"/>
  <c r="C78" i="1"/>
  <c r="B80" i="1" l="1"/>
  <c r="D79" i="1"/>
  <c r="C79" i="1"/>
  <c r="D80" i="1" l="1"/>
  <c r="C80" i="1"/>
  <c r="B81" i="1"/>
  <c r="B82" i="1" l="1"/>
  <c r="D81" i="1"/>
  <c r="C81" i="1"/>
  <c r="C82" i="1" l="1"/>
  <c r="B83" i="1"/>
  <c r="D82" i="1"/>
  <c r="D83" i="1" l="1"/>
  <c r="C83" i="1"/>
  <c r="B84" i="1"/>
  <c r="B85" i="1" l="1"/>
  <c r="D84" i="1"/>
  <c r="C84" i="1"/>
  <c r="C85" i="1" l="1"/>
  <c r="D85" i="1"/>
  <c r="B86" i="1"/>
  <c r="D86" i="1" l="1"/>
  <c r="B87" i="1"/>
  <c r="C86" i="1"/>
  <c r="D87" i="1" l="1"/>
  <c r="C87" i="1"/>
  <c r="B88" i="1"/>
  <c r="B89" i="1" l="1"/>
  <c r="D88" i="1"/>
  <c r="C88" i="1"/>
  <c r="B90" i="1" l="1"/>
  <c r="C89" i="1"/>
  <c r="D89" i="1"/>
  <c r="C90" i="1" l="1"/>
  <c r="D90" i="1"/>
  <c r="B91" i="1"/>
  <c r="D91" i="1" l="1"/>
  <c r="B92" i="1"/>
  <c r="C91" i="1"/>
  <c r="C92" i="1" l="1"/>
  <c r="B93" i="1"/>
  <c r="D92" i="1"/>
  <c r="D93" i="1" l="1"/>
  <c r="B94" i="1"/>
  <c r="C93" i="1"/>
  <c r="D94" i="1" l="1"/>
  <c r="B95" i="1"/>
  <c r="C94" i="1"/>
  <c r="C95" i="1" l="1"/>
  <c r="D95" i="1"/>
  <c r="B96" i="1"/>
  <c r="C96" i="1" l="1"/>
  <c r="B97" i="1"/>
  <c r="D96" i="1"/>
  <c r="C97" i="1" l="1"/>
  <c r="D97" i="1"/>
  <c r="B98" i="1"/>
  <c r="D98" i="1" l="1"/>
  <c r="B99" i="1"/>
  <c r="C98" i="1"/>
  <c r="C99" i="1" l="1"/>
  <c r="B100" i="1"/>
  <c r="D99" i="1"/>
  <c r="D100" i="1" l="1"/>
  <c r="C100" i="1"/>
  <c r="B101" i="1"/>
  <c r="B102" i="1" l="1"/>
  <c r="D101" i="1"/>
  <c r="C101" i="1"/>
  <c r="C102" i="1" l="1"/>
  <c r="B103" i="1"/>
  <c r="D102" i="1"/>
  <c r="D103" i="1" l="1"/>
  <c r="B104" i="1"/>
  <c r="C103" i="1"/>
  <c r="B105" i="1" l="1"/>
  <c r="D104" i="1"/>
  <c r="C104" i="1"/>
  <c r="B106" i="1" l="1"/>
  <c r="C105" i="1"/>
  <c r="D105" i="1"/>
  <c r="D106" i="1" l="1"/>
  <c r="C106" i="1"/>
  <c r="B107" i="1"/>
  <c r="B108" i="1" l="1"/>
  <c r="C107" i="1"/>
  <c r="D107" i="1"/>
  <c r="D108" i="1" l="1"/>
  <c r="C108" i="1"/>
  <c r="B109" i="1"/>
  <c r="B110" i="1" l="1"/>
  <c r="D109" i="1"/>
  <c r="C109" i="1"/>
  <c r="C110" i="1" l="1"/>
  <c r="B111" i="1"/>
  <c r="D110" i="1"/>
  <c r="D111" i="1" l="1"/>
  <c r="B112" i="1"/>
  <c r="C111" i="1"/>
  <c r="D112" i="1" l="1"/>
  <c r="C112" i="1"/>
  <c r="B113" i="1"/>
  <c r="B114" i="1" l="1"/>
  <c r="D113" i="1"/>
  <c r="C113" i="1"/>
  <c r="D114" i="1" l="1"/>
  <c r="C114" i="1"/>
  <c r="B115" i="1"/>
  <c r="B116" i="1" l="1"/>
  <c r="D115" i="1"/>
  <c r="C115" i="1"/>
  <c r="D116" i="1" l="1"/>
  <c r="C116" i="1"/>
  <c r="B117" i="1"/>
  <c r="B118" i="1" l="1"/>
  <c r="C117" i="1"/>
  <c r="D117" i="1"/>
  <c r="B119" i="1" l="1"/>
  <c r="D118" i="1"/>
  <c r="C118" i="1"/>
  <c r="D119" i="1" l="1"/>
  <c r="B120" i="1"/>
  <c r="C119" i="1"/>
  <c r="D120" i="1" l="1"/>
  <c r="C120" i="1"/>
  <c r="B121" i="1"/>
  <c r="B122" i="1" l="1"/>
  <c r="D121" i="1"/>
  <c r="C121" i="1"/>
  <c r="D122" i="1" l="1"/>
  <c r="B123" i="1"/>
  <c r="C122" i="1"/>
  <c r="B124" i="1" l="1"/>
  <c r="C123" i="1"/>
  <c r="D123" i="1"/>
  <c r="B125" i="1" l="1"/>
  <c r="D124" i="1"/>
  <c r="C124" i="1"/>
  <c r="C125" i="1" l="1"/>
  <c r="B126" i="1"/>
  <c r="D125" i="1"/>
  <c r="B127" i="1" l="1"/>
  <c r="D126" i="1"/>
  <c r="C126" i="1"/>
  <c r="B128" i="1" l="1"/>
  <c r="C127" i="1"/>
  <c r="D127" i="1"/>
  <c r="B129" i="1" l="1"/>
  <c r="C128" i="1"/>
  <c r="D128" i="1"/>
  <c r="C129" i="1" l="1"/>
  <c r="B130" i="1"/>
  <c r="D129" i="1"/>
  <c r="B131" i="1" l="1"/>
  <c r="C130" i="1"/>
  <c r="D130" i="1"/>
  <c r="D131" i="1" l="1"/>
  <c r="C131" i="1"/>
  <c r="B132" i="1"/>
  <c r="B133" i="1" l="1"/>
  <c r="D132" i="1"/>
  <c r="C132" i="1"/>
  <c r="D133" i="1" l="1"/>
  <c r="B134" i="1"/>
  <c r="C133" i="1"/>
  <c r="B135" i="1" l="1"/>
  <c r="D134" i="1"/>
  <c r="C134" i="1"/>
  <c r="B136" i="1" l="1"/>
  <c r="C135" i="1"/>
  <c r="D135" i="1"/>
  <c r="B137" i="1" l="1"/>
  <c r="C136" i="1"/>
  <c r="D136" i="1"/>
  <c r="C137" i="1" l="1"/>
  <c r="B138" i="1"/>
  <c r="D137" i="1"/>
  <c r="B139" i="1" l="1"/>
  <c r="D138" i="1"/>
  <c r="C138" i="1"/>
  <c r="B140" i="1" l="1"/>
  <c r="C139" i="1"/>
  <c r="D139" i="1"/>
  <c r="B141" i="1" l="1"/>
  <c r="D140" i="1"/>
  <c r="C140" i="1"/>
  <c r="D141" i="1" l="1"/>
  <c r="C141" i="1"/>
  <c r="B142" i="1"/>
  <c r="B143" i="1" l="1"/>
  <c r="C142" i="1"/>
  <c r="D142" i="1"/>
  <c r="B144" i="1" l="1"/>
  <c r="C143" i="1"/>
  <c r="D143" i="1"/>
  <c r="B145" i="1" l="1"/>
  <c r="C144" i="1"/>
  <c r="D144" i="1"/>
  <c r="C145" i="1" l="1"/>
  <c r="B146" i="1"/>
  <c r="D145" i="1"/>
  <c r="B147" i="1" l="1"/>
  <c r="C146" i="1"/>
  <c r="D146" i="1"/>
  <c r="C147" i="1" l="1"/>
  <c r="B148" i="1"/>
  <c r="D147" i="1"/>
  <c r="C148" i="1" l="1"/>
  <c r="B149" i="1"/>
  <c r="D148" i="1"/>
  <c r="D149" i="1" l="1"/>
  <c r="C149" i="1"/>
  <c r="B150" i="1"/>
  <c r="D150" i="1" l="1"/>
  <c r="C150" i="1"/>
  <c r="B151" i="1"/>
  <c r="D151" i="1" l="1"/>
  <c r="C151" i="1"/>
  <c r="B152" i="1"/>
  <c r="C152" i="1" l="1"/>
  <c r="D152" i="1"/>
  <c r="B153" i="1"/>
  <c r="D153" i="1" l="1"/>
  <c r="C153" i="1"/>
  <c r="B154" i="1"/>
  <c r="D154" i="1" l="1"/>
  <c r="C154" i="1"/>
  <c r="B155" i="1"/>
  <c r="D155" i="1" l="1"/>
  <c r="B156" i="1"/>
  <c r="C155" i="1"/>
  <c r="C156" i="1" l="1"/>
  <c r="B157" i="1"/>
  <c r="D156" i="1"/>
  <c r="C157" i="1" l="1"/>
  <c r="D157" i="1"/>
  <c r="B158" i="1"/>
  <c r="D158" i="1" l="1"/>
  <c r="C158" i="1"/>
  <c r="B159" i="1"/>
  <c r="D159" i="1" l="1"/>
  <c r="B160" i="1"/>
  <c r="C159" i="1"/>
  <c r="D160" i="1" l="1"/>
  <c r="C160" i="1"/>
  <c r="B161" i="1"/>
  <c r="C161" i="1" l="1"/>
  <c r="B162" i="1"/>
  <c r="D161" i="1"/>
  <c r="D162" i="1" l="1"/>
  <c r="C162" i="1"/>
  <c r="B163" i="1"/>
  <c r="B164" i="1" l="1"/>
  <c r="D163" i="1"/>
  <c r="C163" i="1"/>
  <c r="D164" i="1" l="1"/>
  <c r="C164" i="1"/>
  <c r="B165" i="1"/>
  <c r="B166" i="1" l="1"/>
  <c r="D165" i="1"/>
  <c r="C165" i="1"/>
  <c r="C166" i="1" l="1"/>
  <c r="B167" i="1"/>
  <c r="D166" i="1"/>
  <c r="C167" i="1" l="1"/>
  <c r="D167" i="1"/>
  <c r="B168" i="1"/>
  <c r="C168" i="1" l="1"/>
  <c r="D168" i="1"/>
</calcChain>
</file>

<file path=xl/sharedStrings.xml><?xml version="1.0" encoding="utf-8"?>
<sst xmlns="http://schemas.openxmlformats.org/spreadsheetml/2006/main" count="24" uniqueCount="21">
  <si>
    <t>Wells-Riley model</t>
  </si>
  <si>
    <t>Room volume</t>
  </si>
  <si>
    <t>m3</t>
  </si>
  <si>
    <t>pulmonary ventilation</t>
  </si>
  <si>
    <t>l/min</t>
  </si>
  <si>
    <t>m3/min</t>
  </si>
  <si>
    <t>Room vent</t>
  </si>
  <si>
    <t>ACH</t>
  </si>
  <si>
    <t>Quanta</t>
  </si>
  <si>
    <t>q/min</t>
  </si>
  <si>
    <t>Simulation time</t>
  </si>
  <si>
    <t>days</t>
  </si>
  <si>
    <t>Number of steps</t>
  </si>
  <si>
    <t>Dt</t>
  </si>
  <si>
    <t>New cases</t>
  </si>
  <si>
    <t>Susceptibles</t>
  </si>
  <si>
    <t>Infectors</t>
  </si>
  <si>
    <t>min</t>
  </si>
  <si>
    <t>Time (min)</t>
  </si>
  <si>
    <t>Time (days)</t>
  </si>
  <si>
    <t>Adjust the parameters in yellow/orange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</si>
</sst>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Sheet1!$D$8</c:f>
              <c:strCache>
                <c:ptCount val="1"/>
                <c:pt idx="0">
                  <c:v>New cases</c:v>
                </c:pt>
              </c:strCache>
            </c:strRef>
          </c:tx>
          <c:xVal>
            <c:numRef>
              <c:f>Sheet1!$C$9:$C$109</c:f>
              <c:numCache>
                <c:formatCode>General</c:formatCode>
                <c:ptCount val="10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3.55</c:v>
                </c:pt>
                <c:pt idx="72">
                  <c:v>3.6</c:v>
                </c:pt>
                <c:pt idx="73">
                  <c:v>3.65</c:v>
                </c:pt>
                <c:pt idx="74">
                  <c:v>3.7</c:v>
                </c:pt>
                <c:pt idx="75">
                  <c:v>3.75</c:v>
                </c:pt>
                <c:pt idx="76">
                  <c:v>3.8</c:v>
                </c:pt>
                <c:pt idx="77">
                  <c:v>3.85</c:v>
                </c:pt>
                <c:pt idx="78">
                  <c:v>3.9</c:v>
                </c:pt>
                <c:pt idx="79">
                  <c:v>3.95</c:v>
                </c:pt>
                <c:pt idx="80">
                  <c:v>4</c:v>
                </c:pt>
                <c:pt idx="81">
                  <c:v>4.05</c:v>
                </c:pt>
                <c:pt idx="82">
                  <c:v>4.0999999999999996</c:v>
                </c:pt>
                <c:pt idx="83">
                  <c:v>4.1500000000000004</c:v>
                </c:pt>
                <c:pt idx="84">
                  <c:v>4.2</c:v>
                </c:pt>
                <c:pt idx="85">
                  <c:v>4.25</c:v>
                </c:pt>
                <c:pt idx="86">
                  <c:v>4.3</c:v>
                </c:pt>
                <c:pt idx="87">
                  <c:v>4.3499999999999996</c:v>
                </c:pt>
                <c:pt idx="88">
                  <c:v>4.4000000000000004</c:v>
                </c:pt>
                <c:pt idx="89">
                  <c:v>4.45</c:v>
                </c:pt>
                <c:pt idx="90">
                  <c:v>4.5</c:v>
                </c:pt>
                <c:pt idx="91">
                  <c:v>4.55</c:v>
                </c:pt>
                <c:pt idx="92">
                  <c:v>4.5999999999999996</c:v>
                </c:pt>
                <c:pt idx="93">
                  <c:v>4.6500000000000004</c:v>
                </c:pt>
                <c:pt idx="94">
                  <c:v>4.7</c:v>
                </c:pt>
                <c:pt idx="95">
                  <c:v>4.75</c:v>
                </c:pt>
                <c:pt idx="96">
                  <c:v>4.8</c:v>
                </c:pt>
                <c:pt idx="97">
                  <c:v>4.8499999999999996</c:v>
                </c:pt>
                <c:pt idx="98">
                  <c:v>4.9000000000000004</c:v>
                </c:pt>
                <c:pt idx="99">
                  <c:v>4.95</c:v>
                </c:pt>
                <c:pt idx="100">
                  <c:v>5</c:v>
                </c:pt>
              </c:numCache>
            </c:numRef>
          </c:xVal>
          <c:yVal>
            <c:numRef>
              <c:f>Sheet1!$D$9:$D$109</c:f>
              <c:numCache>
                <c:formatCode>General</c:formatCode>
                <c:ptCount val="101"/>
                <c:pt idx="0">
                  <c:v>0</c:v>
                </c:pt>
                <c:pt idx="1">
                  <c:v>0.10794170098953337</c:v>
                </c:pt>
                <c:pt idx="2">
                  <c:v>0.21576688787093845</c:v>
                </c:pt>
                <c:pt idx="3">
                  <c:v>0.32347568641153401</c:v>
                </c:pt>
                <c:pt idx="4">
                  <c:v>0.43106822224286967</c:v>
                </c:pt>
                <c:pt idx="5">
                  <c:v>0.53854462086088128</c:v>
                </c:pt>
                <c:pt idx="6">
                  <c:v>0.64590500762606862</c:v>
                </c:pt>
                <c:pt idx="7">
                  <c:v>0.75314950776359524</c:v>
                </c:pt>
                <c:pt idx="8">
                  <c:v>0.86027824636345507</c:v>
                </c:pt>
                <c:pt idx="9">
                  <c:v>0.9672913483806167</c:v>
                </c:pt>
                <c:pt idx="10">
                  <c:v>1.0741889386351788</c:v>
                </c:pt>
                <c:pt idx="11">
                  <c:v>1.1809711418125146</c:v>
                </c:pt>
                <c:pt idx="12">
                  <c:v>1.2876380824633715</c:v>
                </c:pt>
                <c:pt idx="13">
                  <c:v>1.3941898850041046</c:v>
                </c:pt>
                <c:pt idx="14">
                  <c:v>1.5006266737167429</c:v>
                </c:pt>
                <c:pt idx="15">
                  <c:v>1.6069485727491672</c:v>
                </c:pt>
                <c:pt idx="16">
                  <c:v>1.7131557061152436</c:v>
                </c:pt>
                <c:pt idx="17">
                  <c:v>1.8192481976950003</c:v>
                </c:pt>
                <c:pt idx="18">
                  <c:v>1.9252261712347174</c:v>
                </c:pt>
                <c:pt idx="19">
                  <c:v>2.0310897503471259</c:v>
                </c:pt>
                <c:pt idx="20">
                  <c:v>2.1368390585115082</c:v>
                </c:pt>
                <c:pt idx="21">
                  <c:v>2.2424742190738756</c:v>
                </c:pt>
                <c:pt idx="22">
                  <c:v>2.34799535524709</c:v>
                </c:pt>
                <c:pt idx="23">
                  <c:v>2.453402590111009</c:v>
                </c:pt>
                <c:pt idx="24">
                  <c:v>2.5586960466126518</c:v>
                </c:pt>
                <c:pt idx="25">
                  <c:v>2.6638758475663216</c:v>
                </c:pt>
                <c:pt idx="26">
                  <c:v>2.7689421156537386</c:v>
                </c:pt>
                <c:pt idx="27">
                  <c:v>2.8738949734242181</c:v>
                </c:pt>
                <c:pt idx="28">
                  <c:v>2.978734543294792</c:v>
                </c:pt>
                <c:pt idx="29">
                  <c:v>3.0834609475503205</c:v>
                </c:pt>
                <c:pt idx="30">
                  <c:v>3.1880743083437246</c:v>
                </c:pt>
                <c:pt idx="31">
                  <c:v>3.2925747476960199</c:v>
                </c:pt>
                <c:pt idx="32">
                  <c:v>3.3969623874965382</c:v>
                </c:pt>
                <c:pt idx="33">
                  <c:v>3.501237349503028</c:v>
                </c:pt>
                <c:pt idx="34">
                  <c:v>3.6053997553418315</c:v>
                </c:pt>
                <c:pt idx="35">
                  <c:v>3.709449726507974</c:v>
                </c:pt>
                <c:pt idx="36">
                  <c:v>3.8133873843653632</c:v>
                </c:pt>
                <c:pt idx="37">
                  <c:v>3.9172128501468895</c:v>
                </c:pt>
                <c:pt idx="38">
                  <c:v>4.0209262449545928</c:v>
                </c:pt>
                <c:pt idx="39">
                  <c:v>4.1245276897597822</c:v>
                </c:pt>
                <c:pt idx="40">
                  <c:v>4.2280173054032089</c:v>
                </c:pt>
                <c:pt idx="41">
                  <c:v>4.3313952125951571</c:v>
                </c:pt>
                <c:pt idx="42">
                  <c:v>4.4346615319156406</c:v>
                </c:pt>
                <c:pt idx="43">
                  <c:v>4.5378163838144854</c:v>
                </c:pt>
                <c:pt idx="44">
                  <c:v>4.6408598886115477</c:v>
                </c:pt>
                <c:pt idx="45">
                  <c:v>4.7437921664967746</c:v>
                </c:pt>
                <c:pt idx="46">
                  <c:v>4.846613337530381</c:v>
                </c:pt>
                <c:pt idx="47">
                  <c:v>4.9493235216430005</c:v>
                </c:pt>
                <c:pt idx="48">
                  <c:v>5.0519228386357913</c:v>
                </c:pt>
                <c:pt idx="49">
                  <c:v>5.1544114081806258</c:v>
                </c:pt>
                <c:pt idx="50">
                  <c:v>5.2567893498201679</c:v>
                </c:pt>
                <c:pt idx="51">
                  <c:v>5.3590567829680751</c:v>
                </c:pt>
                <c:pt idx="52">
                  <c:v>5.4612138269090726</c:v>
                </c:pt>
                <c:pt idx="53">
                  <c:v>5.5632606007991576</c:v>
                </c:pt>
                <c:pt idx="54">
                  <c:v>5.6651972236657073</c:v>
                </c:pt>
                <c:pt idx="55">
                  <c:v>5.7670238144076125</c:v>
                </c:pt>
                <c:pt idx="56">
                  <c:v>5.8687404917953989</c:v>
                </c:pt>
                <c:pt idx="57">
                  <c:v>5.9703473744714302</c:v>
                </c:pt>
                <c:pt idx="58">
                  <c:v>6.0718445809499695</c:v>
                </c:pt>
                <c:pt idx="59">
                  <c:v>6.1732322296173869</c:v>
                </c:pt>
                <c:pt idx="60">
                  <c:v>6.2745104387322286</c:v>
                </c:pt>
                <c:pt idx="61">
                  <c:v>6.3756793264254323</c:v>
                </c:pt>
                <c:pt idx="62">
                  <c:v>6.476739010700383</c:v>
                </c:pt>
                <c:pt idx="63">
                  <c:v>6.5776896094331132</c:v>
                </c:pt>
                <c:pt idx="64">
                  <c:v>6.6785312403724095</c:v>
                </c:pt>
                <c:pt idx="65">
                  <c:v>6.779264021139964</c:v>
                </c:pt>
                <c:pt idx="66">
                  <c:v>6.8798880692305104</c:v>
                </c:pt>
                <c:pt idx="67">
                  <c:v>6.9804035020119448</c:v>
                </c:pt>
                <c:pt idx="68">
                  <c:v>7.0808104367254714</c:v>
                </c:pt>
                <c:pt idx="69">
                  <c:v>7.1811089904857521</c:v>
                </c:pt>
                <c:pt idx="70">
                  <c:v>7.2812992802810506</c:v>
                </c:pt>
                <c:pt idx="71">
                  <c:v>7.3813814229732984</c:v>
                </c:pt>
                <c:pt idx="72">
                  <c:v>7.4813555352983503</c:v>
                </c:pt>
                <c:pt idx="73">
                  <c:v>7.5812217338660055</c:v>
                </c:pt>
                <c:pt idx="74">
                  <c:v>7.6809801351602207</c:v>
                </c:pt>
                <c:pt idx="75">
                  <c:v>7.7806308555391945</c:v>
                </c:pt>
                <c:pt idx="76">
                  <c:v>7.8801740112355407</c:v>
                </c:pt>
                <c:pt idx="77">
                  <c:v>7.9796097183564063</c:v>
                </c:pt>
                <c:pt idx="78">
                  <c:v>8.0789380928836252</c:v>
                </c:pt>
                <c:pt idx="79">
                  <c:v>8.1781592506738008</c:v>
                </c:pt>
                <c:pt idx="80">
                  <c:v>8.2772733074585219</c:v>
                </c:pt>
                <c:pt idx="81">
                  <c:v>8.3762803788444362</c:v>
                </c:pt>
                <c:pt idx="82">
                  <c:v>8.4751805803133902</c:v>
                </c:pt>
                <c:pt idx="83">
                  <c:v>8.5739740272225973</c:v>
                </c:pt>
                <c:pt idx="84">
                  <c:v>8.6726608348047467</c:v>
                </c:pt>
                <c:pt idx="85">
                  <c:v>8.7712411181681382</c:v>
                </c:pt>
                <c:pt idx="86">
                  <c:v>8.8697149922968279</c:v>
                </c:pt>
                <c:pt idx="87">
                  <c:v>8.9680825720507507</c:v>
                </c:pt>
                <c:pt idx="88">
                  <c:v>9.0663439721658694</c:v>
                </c:pt>
                <c:pt idx="89">
                  <c:v>9.1644993072542817</c:v>
                </c:pt>
                <c:pt idx="90">
                  <c:v>9.2625486918043833</c:v>
                </c:pt>
                <c:pt idx="91">
                  <c:v>9.3604922401810065</c:v>
                </c:pt>
                <c:pt idx="92">
                  <c:v>9.4583300666254981</c:v>
                </c:pt>
                <c:pt idx="93">
                  <c:v>9.5560622852559067</c:v>
                </c:pt>
                <c:pt idx="94">
                  <c:v>9.6536890100671116</c:v>
                </c:pt>
                <c:pt idx="95">
                  <c:v>9.7512103549309401</c:v>
                </c:pt>
                <c:pt idx="96">
                  <c:v>9.8486264335962979</c:v>
                </c:pt>
                <c:pt idx="97">
                  <c:v>9.9459373596892942</c:v>
                </c:pt>
                <c:pt idx="98">
                  <c:v>10.043143246713427</c:v>
                </c:pt>
                <c:pt idx="99">
                  <c:v>10.140244208049642</c:v>
                </c:pt>
                <c:pt idx="100">
                  <c:v>10.237240356956512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858112"/>
        <c:axId val="98860416"/>
      </c:scatterChart>
      <c:valAx>
        <c:axId val="988581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(days)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98860416"/>
        <c:crosses val="autoZero"/>
        <c:crossBetween val="midCat"/>
      </c:valAx>
      <c:valAx>
        <c:axId val="988604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New cases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98858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438150</xdr:colOff>
      <xdr:row>8</xdr:row>
      <xdr:rowOff>180975</xdr:rowOff>
    </xdr:from>
    <xdr:to>
      <xdr:col>11</xdr:col>
      <xdr:colOff>266700</xdr:colOff>
      <xdr:row>23</xdr:row>
      <xdr:rowOff>66675</xdr:rowOff>
    </xdr:to>
    <xdr:graphicFrame macro="">
      <xdr:nvGraphicFramePr>
        <xdr:cNvPr id="102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68"/>
  <sheetViews>
    <sheetView tabSelected="1" workbookViewId="0">
      <selection activeCell="M13" sqref="M13"/>
    </sheetView>
  </sheetViews>
  <sheetFormatPr defaultRowHeight="15" x14ac:dyDescent="0.25"/>
  <cols>
    <col min="2" max="2" width="11" customWidth="1"/>
    <col min="3" max="3" width="12" customWidth="1"/>
    <col min="6" max="6" width="16.28515625" customWidth="1"/>
  </cols>
  <sheetData>
    <row r="1" spans="1:13" x14ac:dyDescent="0.25">
      <c r="A1" s="4" t="s">
        <v>0</v>
      </c>
      <c r="B1" s="4"/>
      <c r="E1" t="s">
        <v>20</v>
      </c>
    </row>
    <row r="3" spans="1:13" x14ac:dyDescent="0.25">
      <c r="A3" s="1" t="s">
        <v>1</v>
      </c>
      <c r="B3" s="1"/>
      <c r="C3" s="1">
        <v>1000</v>
      </c>
      <c r="D3" s="1" t="s">
        <v>2</v>
      </c>
      <c r="E3" s="1" t="s">
        <v>3</v>
      </c>
      <c r="F3" s="1"/>
      <c r="G3" s="1" t="s">
        <v>4</v>
      </c>
      <c r="H3" s="1">
        <v>10</v>
      </c>
      <c r="J3" s="3" t="s">
        <v>10</v>
      </c>
      <c r="K3" s="3"/>
      <c r="L3" s="3">
        <v>5</v>
      </c>
      <c r="M3" s="3" t="s">
        <v>11</v>
      </c>
    </row>
    <row r="4" spans="1:13" x14ac:dyDescent="0.25">
      <c r="A4" s="1" t="s">
        <v>15</v>
      </c>
      <c r="B4" s="1"/>
      <c r="C4" s="1">
        <v>100</v>
      </c>
      <c r="D4" s="1"/>
      <c r="E4" s="2" t="s">
        <v>3</v>
      </c>
      <c r="F4" s="2"/>
      <c r="G4" s="2" t="s">
        <v>5</v>
      </c>
      <c r="H4" s="2">
        <f>H3/1000</f>
        <v>0.01</v>
      </c>
      <c r="J4" s="2" t="s">
        <v>12</v>
      </c>
      <c r="K4" s="2"/>
      <c r="L4" s="2">
        <v>100</v>
      </c>
    </row>
    <row r="5" spans="1:13" x14ac:dyDescent="0.25">
      <c r="A5" s="1" t="s">
        <v>16</v>
      </c>
      <c r="B5" s="1"/>
      <c r="C5" s="1">
        <v>1</v>
      </c>
      <c r="D5" s="1"/>
      <c r="E5" s="1" t="s">
        <v>6</v>
      </c>
      <c r="F5" s="1"/>
      <c r="G5" s="1" t="s">
        <v>7</v>
      </c>
      <c r="H5" s="1">
        <v>2</v>
      </c>
      <c r="J5" s="2" t="s">
        <v>13</v>
      </c>
      <c r="K5" s="2" t="s">
        <v>17</v>
      </c>
      <c r="L5" s="2">
        <f>L3*24*60/L4</f>
        <v>72</v>
      </c>
    </row>
    <row r="6" spans="1:13" x14ac:dyDescent="0.25">
      <c r="A6" s="1" t="s">
        <v>8</v>
      </c>
      <c r="B6" s="1"/>
      <c r="C6" s="1">
        <v>0.05</v>
      </c>
      <c r="D6" s="1" t="s">
        <v>9</v>
      </c>
      <c r="E6" s="2" t="s">
        <v>6</v>
      </c>
      <c r="F6" s="2"/>
      <c r="G6" s="2" t="s">
        <v>5</v>
      </c>
      <c r="H6" s="2">
        <f>H5*C3/60</f>
        <v>33.333333333333336</v>
      </c>
    </row>
    <row r="8" spans="1:13" x14ac:dyDescent="0.25">
      <c r="B8" s="4" t="s">
        <v>18</v>
      </c>
      <c r="C8" s="4" t="s">
        <v>19</v>
      </c>
      <c r="D8" s="4" t="s">
        <v>14</v>
      </c>
    </row>
    <row r="9" spans="1:13" x14ac:dyDescent="0.25">
      <c r="B9">
        <v>0</v>
      </c>
      <c r="C9">
        <f>B9/24/60</f>
        <v>0</v>
      </c>
      <c r="D9">
        <f t="shared" ref="D9:D40" si="0">$C$4*(1-EXP(-$H$4*$C$5*$C$6*B9/$H$6))</f>
        <v>0</v>
      </c>
    </row>
    <row r="10" spans="1:13" x14ac:dyDescent="0.25">
      <c r="B10">
        <f>B9+$L$5</f>
        <v>72</v>
      </c>
      <c r="C10">
        <f t="shared" ref="C10:C73" si="1">B10/24/60</f>
        <v>0.05</v>
      </c>
      <c r="D10">
        <f t="shared" si="0"/>
        <v>0.10794170098953337</v>
      </c>
    </row>
    <row r="11" spans="1:13" x14ac:dyDescent="0.25">
      <c r="B11">
        <f t="shared" ref="B11:B37" si="2">B10+$L$5</f>
        <v>144</v>
      </c>
      <c r="C11">
        <f t="shared" si="1"/>
        <v>0.1</v>
      </c>
      <c r="D11">
        <f t="shared" si="0"/>
        <v>0.21576688787093845</v>
      </c>
    </row>
    <row r="12" spans="1:13" x14ac:dyDescent="0.25">
      <c r="B12">
        <f t="shared" si="2"/>
        <v>216</v>
      </c>
      <c r="C12">
        <f t="shared" si="1"/>
        <v>0.15</v>
      </c>
      <c r="D12">
        <f t="shared" si="0"/>
        <v>0.32347568641153401</v>
      </c>
    </row>
    <row r="13" spans="1:13" x14ac:dyDescent="0.25">
      <c r="B13">
        <f t="shared" si="2"/>
        <v>288</v>
      </c>
      <c r="C13">
        <f t="shared" si="1"/>
        <v>0.2</v>
      </c>
      <c r="D13">
        <f t="shared" si="0"/>
        <v>0.43106822224286967</v>
      </c>
    </row>
    <row r="14" spans="1:13" x14ac:dyDescent="0.25">
      <c r="B14">
        <f t="shared" si="2"/>
        <v>360</v>
      </c>
      <c r="C14">
        <f t="shared" si="1"/>
        <v>0.25</v>
      </c>
      <c r="D14">
        <f t="shared" si="0"/>
        <v>0.53854462086088128</v>
      </c>
    </row>
    <row r="15" spans="1:13" x14ac:dyDescent="0.25">
      <c r="B15">
        <f t="shared" si="2"/>
        <v>432</v>
      </c>
      <c r="C15">
        <f t="shared" si="1"/>
        <v>0.3</v>
      </c>
      <c r="D15">
        <f t="shared" si="0"/>
        <v>0.64590500762606862</v>
      </c>
    </row>
    <row r="16" spans="1:13" x14ac:dyDescent="0.25">
      <c r="B16">
        <f t="shared" si="2"/>
        <v>504</v>
      </c>
      <c r="C16">
        <f t="shared" si="1"/>
        <v>0.35</v>
      </c>
      <c r="D16">
        <f t="shared" si="0"/>
        <v>0.75314950776359524</v>
      </c>
    </row>
    <row r="17" spans="2:4" x14ac:dyDescent="0.25">
      <c r="B17">
        <f t="shared" si="2"/>
        <v>576</v>
      </c>
      <c r="C17">
        <f t="shared" si="1"/>
        <v>0.4</v>
      </c>
      <c r="D17">
        <f t="shared" si="0"/>
        <v>0.86027824636345507</v>
      </c>
    </row>
    <row r="18" spans="2:4" x14ac:dyDescent="0.25">
      <c r="B18">
        <f t="shared" si="2"/>
        <v>648</v>
      </c>
      <c r="C18">
        <f t="shared" si="1"/>
        <v>0.45</v>
      </c>
      <c r="D18">
        <f t="shared" si="0"/>
        <v>0.9672913483806167</v>
      </c>
    </row>
    <row r="19" spans="2:4" x14ac:dyDescent="0.25">
      <c r="B19">
        <f t="shared" si="2"/>
        <v>720</v>
      </c>
      <c r="C19">
        <f t="shared" si="1"/>
        <v>0.5</v>
      </c>
      <c r="D19">
        <f t="shared" si="0"/>
        <v>1.0741889386351788</v>
      </c>
    </row>
    <row r="20" spans="2:4" x14ac:dyDescent="0.25">
      <c r="B20">
        <f t="shared" si="2"/>
        <v>792</v>
      </c>
      <c r="C20">
        <f t="shared" si="1"/>
        <v>0.55000000000000004</v>
      </c>
      <c r="D20">
        <f t="shared" si="0"/>
        <v>1.1809711418125146</v>
      </c>
    </row>
    <row r="21" spans="2:4" x14ac:dyDescent="0.25">
      <c r="B21">
        <f t="shared" si="2"/>
        <v>864</v>
      </c>
      <c r="C21">
        <f t="shared" si="1"/>
        <v>0.6</v>
      </c>
      <c r="D21">
        <f t="shared" si="0"/>
        <v>1.2876380824633715</v>
      </c>
    </row>
    <row r="22" spans="2:4" x14ac:dyDescent="0.25">
      <c r="B22">
        <f t="shared" si="2"/>
        <v>936</v>
      </c>
      <c r="C22">
        <f t="shared" si="1"/>
        <v>0.65</v>
      </c>
      <c r="D22">
        <f t="shared" si="0"/>
        <v>1.3941898850041046</v>
      </c>
    </row>
    <row r="23" spans="2:4" x14ac:dyDescent="0.25">
      <c r="B23">
        <f t="shared" si="2"/>
        <v>1008</v>
      </c>
      <c r="C23">
        <f t="shared" si="1"/>
        <v>0.7</v>
      </c>
      <c r="D23">
        <f t="shared" si="0"/>
        <v>1.5006266737167429</v>
      </c>
    </row>
    <row r="24" spans="2:4" x14ac:dyDescent="0.25">
      <c r="B24">
        <f t="shared" si="2"/>
        <v>1080</v>
      </c>
      <c r="C24">
        <f t="shared" si="1"/>
        <v>0.75</v>
      </c>
      <c r="D24">
        <f t="shared" si="0"/>
        <v>1.6069485727491672</v>
      </c>
    </row>
    <row r="25" spans="2:4" x14ac:dyDescent="0.25">
      <c r="B25">
        <f t="shared" si="2"/>
        <v>1152</v>
      </c>
      <c r="C25">
        <f t="shared" si="1"/>
        <v>0.8</v>
      </c>
      <c r="D25">
        <f t="shared" si="0"/>
        <v>1.7131557061152436</v>
      </c>
    </row>
    <row r="26" spans="2:4" x14ac:dyDescent="0.25">
      <c r="B26">
        <f t="shared" si="2"/>
        <v>1224</v>
      </c>
      <c r="C26">
        <f t="shared" si="1"/>
        <v>0.85</v>
      </c>
      <c r="D26">
        <f t="shared" si="0"/>
        <v>1.8192481976950003</v>
      </c>
    </row>
    <row r="27" spans="2:4" x14ac:dyDescent="0.25">
      <c r="B27">
        <f t="shared" si="2"/>
        <v>1296</v>
      </c>
      <c r="C27">
        <f t="shared" si="1"/>
        <v>0.9</v>
      </c>
      <c r="D27">
        <f t="shared" si="0"/>
        <v>1.9252261712347174</v>
      </c>
    </row>
    <row r="28" spans="2:4" x14ac:dyDescent="0.25">
      <c r="B28">
        <f t="shared" si="2"/>
        <v>1368</v>
      </c>
      <c r="C28">
        <f t="shared" si="1"/>
        <v>0.95</v>
      </c>
      <c r="D28">
        <f t="shared" si="0"/>
        <v>2.0310897503471259</v>
      </c>
    </row>
    <row r="29" spans="2:4" x14ac:dyDescent="0.25">
      <c r="B29">
        <f t="shared" si="2"/>
        <v>1440</v>
      </c>
      <c r="C29">
        <f t="shared" si="1"/>
        <v>1</v>
      </c>
      <c r="D29">
        <f t="shared" si="0"/>
        <v>2.1368390585115082</v>
      </c>
    </row>
    <row r="30" spans="2:4" x14ac:dyDescent="0.25">
      <c r="B30">
        <f t="shared" si="2"/>
        <v>1512</v>
      </c>
      <c r="C30">
        <f t="shared" si="1"/>
        <v>1.05</v>
      </c>
      <c r="D30">
        <f t="shared" si="0"/>
        <v>2.2424742190738756</v>
      </c>
    </row>
    <row r="31" spans="2:4" x14ac:dyDescent="0.25">
      <c r="B31">
        <f t="shared" si="2"/>
        <v>1584</v>
      </c>
      <c r="C31">
        <f t="shared" si="1"/>
        <v>1.1000000000000001</v>
      </c>
      <c r="D31">
        <f t="shared" si="0"/>
        <v>2.34799535524709</v>
      </c>
    </row>
    <row r="32" spans="2:4" x14ac:dyDescent="0.25">
      <c r="B32">
        <f t="shared" si="2"/>
        <v>1656</v>
      </c>
      <c r="C32">
        <f t="shared" si="1"/>
        <v>1.1499999999999999</v>
      </c>
      <c r="D32">
        <f t="shared" si="0"/>
        <v>2.453402590111009</v>
      </c>
    </row>
    <row r="33" spans="2:4" x14ac:dyDescent="0.25">
      <c r="B33">
        <f t="shared" si="2"/>
        <v>1728</v>
      </c>
      <c r="C33">
        <f t="shared" si="1"/>
        <v>1.2</v>
      </c>
      <c r="D33">
        <f t="shared" si="0"/>
        <v>2.5586960466126518</v>
      </c>
    </row>
    <row r="34" spans="2:4" x14ac:dyDescent="0.25">
      <c r="B34">
        <f t="shared" si="2"/>
        <v>1800</v>
      </c>
      <c r="C34">
        <f t="shared" si="1"/>
        <v>1.25</v>
      </c>
      <c r="D34">
        <f t="shared" si="0"/>
        <v>2.6638758475663216</v>
      </c>
    </row>
    <row r="35" spans="2:4" x14ac:dyDescent="0.25">
      <c r="B35">
        <f t="shared" si="2"/>
        <v>1872</v>
      </c>
      <c r="C35">
        <f t="shared" si="1"/>
        <v>1.3</v>
      </c>
      <c r="D35">
        <f t="shared" si="0"/>
        <v>2.7689421156537386</v>
      </c>
    </row>
    <row r="36" spans="2:4" x14ac:dyDescent="0.25">
      <c r="B36">
        <f t="shared" si="2"/>
        <v>1944</v>
      </c>
      <c r="C36">
        <f t="shared" si="1"/>
        <v>1.35</v>
      </c>
      <c r="D36">
        <f t="shared" si="0"/>
        <v>2.8738949734242181</v>
      </c>
    </row>
    <row r="37" spans="2:4" x14ac:dyDescent="0.25">
      <c r="B37">
        <f t="shared" si="2"/>
        <v>2016</v>
      </c>
      <c r="C37">
        <f t="shared" si="1"/>
        <v>1.4</v>
      </c>
      <c r="D37">
        <f t="shared" si="0"/>
        <v>2.978734543294792</v>
      </c>
    </row>
    <row r="38" spans="2:4" x14ac:dyDescent="0.25">
      <c r="B38">
        <f t="shared" ref="B38:B76" si="3">B37+$L$5</f>
        <v>2088</v>
      </c>
      <c r="C38">
        <f t="shared" si="1"/>
        <v>1.45</v>
      </c>
      <c r="D38">
        <f t="shared" si="0"/>
        <v>3.0834609475503205</v>
      </c>
    </row>
    <row r="39" spans="2:4" x14ac:dyDescent="0.25">
      <c r="B39">
        <f t="shared" si="3"/>
        <v>2160</v>
      </c>
      <c r="C39">
        <f t="shared" si="1"/>
        <v>1.5</v>
      </c>
      <c r="D39">
        <f t="shared" si="0"/>
        <v>3.1880743083437246</v>
      </c>
    </row>
    <row r="40" spans="2:4" x14ac:dyDescent="0.25">
      <c r="B40">
        <f t="shared" si="3"/>
        <v>2232</v>
      </c>
      <c r="C40">
        <f t="shared" si="1"/>
        <v>1.55</v>
      </c>
      <c r="D40">
        <f t="shared" si="0"/>
        <v>3.2925747476960199</v>
      </c>
    </row>
    <row r="41" spans="2:4" x14ac:dyDescent="0.25">
      <c r="B41">
        <f t="shared" si="3"/>
        <v>2304</v>
      </c>
      <c r="C41">
        <f t="shared" si="1"/>
        <v>1.6</v>
      </c>
      <c r="D41">
        <f t="shared" ref="D41:D76" si="4">$C$4*(1-EXP(-$H$4*$C$5*$C$6*B41/$H$6))</f>
        <v>3.3969623874965382</v>
      </c>
    </row>
    <row r="42" spans="2:4" x14ac:dyDescent="0.25">
      <c r="B42">
        <f t="shared" si="3"/>
        <v>2376</v>
      </c>
      <c r="C42">
        <f t="shared" si="1"/>
        <v>1.65</v>
      </c>
      <c r="D42">
        <f t="shared" si="4"/>
        <v>3.501237349503028</v>
      </c>
    </row>
    <row r="43" spans="2:4" x14ac:dyDescent="0.25">
      <c r="B43">
        <f t="shared" si="3"/>
        <v>2448</v>
      </c>
      <c r="C43">
        <f t="shared" si="1"/>
        <v>1.7</v>
      </c>
      <c r="D43">
        <f t="shared" si="4"/>
        <v>3.6053997553418315</v>
      </c>
    </row>
    <row r="44" spans="2:4" x14ac:dyDescent="0.25">
      <c r="B44">
        <f t="shared" si="3"/>
        <v>2520</v>
      </c>
      <c r="C44">
        <f t="shared" si="1"/>
        <v>1.75</v>
      </c>
      <c r="D44">
        <f t="shared" si="4"/>
        <v>3.709449726507974</v>
      </c>
    </row>
    <row r="45" spans="2:4" x14ac:dyDescent="0.25">
      <c r="B45">
        <f t="shared" si="3"/>
        <v>2592</v>
      </c>
      <c r="C45">
        <f t="shared" si="1"/>
        <v>1.8</v>
      </c>
      <c r="D45">
        <f t="shared" si="4"/>
        <v>3.8133873843653632</v>
      </c>
    </row>
    <row r="46" spans="2:4" x14ac:dyDescent="0.25">
      <c r="B46">
        <f t="shared" si="3"/>
        <v>2664</v>
      </c>
      <c r="C46">
        <f t="shared" si="1"/>
        <v>1.85</v>
      </c>
      <c r="D46">
        <f t="shared" si="4"/>
        <v>3.9172128501468895</v>
      </c>
    </row>
    <row r="47" spans="2:4" x14ac:dyDescent="0.25">
      <c r="B47">
        <f t="shared" si="3"/>
        <v>2736</v>
      </c>
      <c r="C47">
        <f t="shared" si="1"/>
        <v>1.9</v>
      </c>
      <c r="D47">
        <f t="shared" si="4"/>
        <v>4.0209262449545928</v>
      </c>
    </row>
    <row r="48" spans="2:4" x14ac:dyDescent="0.25">
      <c r="B48">
        <f t="shared" si="3"/>
        <v>2808</v>
      </c>
      <c r="C48">
        <f t="shared" si="1"/>
        <v>1.95</v>
      </c>
      <c r="D48">
        <f t="shared" si="4"/>
        <v>4.1245276897597822</v>
      </c>
    </row>
    <row r="49" spans="2:4" x14ac:dyDescent="0.25">
      <c r="B49">
        <f t="shared" si="3"/>
        <v>2880</v>
      </c>
      <c r="C49">
        <f t="shared" si="1"/>
        <v>2</v>
      </c>
      <c r="D49">
        <f t="shared" si="4"/>
        <v>4.2280173054032089</v>
      </c>
    </row>
    <row r="50" spans="2:4" x14ac:dyDescent="0.25">
      <c r="B50">
        <f t="shared" si="3"/>
        <v>2952</v>
      </c>
      <c r="C50">
        <f t="shared" si="1"/>
        <v>2.0499999999999998</v>
      </c>
      <c r="D50">
        <f t="shared" si="4"/>
        <v>4.3313952125951571</v>
      </c>
    </row>
    <row r="51" spans="2:4" x14ac:dyDescent="0.25">
      <c r="B51">
        <f t="shared" si="3"/>
        <v>3024</v>
      </c>
      <c r="C51">
        <f t="shared" si="1"/>
        <v>2.1</v>
      </c>
      <c r="D51">
        <f t="shared" si="4"/>
        <v>4.4346615319156406</v>
      </c>
    </row>
    <row r="52" spans="2:4" x14ac:dyDescent="0.25">
      <c r="B52">
        <f t="shared" si="3"/>
        <v>3096</v>
      </c>
      <c r="C52">
        <f t="shared" si="1"/>
        <v>2.15</v>
      </c>
      <c r="D52">
        <f t="shared" si="4"/>
        <v>4.5378163838144854</v>
      </c>
    </row>
    <row r="53" spans="2:4" x14ac:dyDescent="0.25">
      <c r="B53">
        <f t="shared" si="3"/>
        <v>3168</v>
      </c>
      <c r="C53">
        <f t="shared" si="1"/>
        <v>2.2000000000000002</v>
      </c>
      <c r="D53">
        <f t="shared" si="4"/>
        <v>4.6408598886115477</v>
      </c>
    </row>
    <row r="54" spans="2:4" x14ac:dyDescent="0.25">
      <c r="B54">
        <f t="shared" si="3"/>
        <v>3240</v>
      </c>
      <c r="C54">
        <f t="shared" si="1"/>
        <v>2.25</v>
      </c>
      <c r="D54">
        <f t="shared" si="4"/>
        <v>4.7437921664967746</v>
      </c>
    </row>
    <row r="55" spans="2:4" x14ac:dyDescent="0.25">
      <c r="B55">
        <f t="shared" si="3"/>
        <v>3312</v>
      </c>
      <c r="C55">
        <f t="shared" si="1"/>
        <v>2.2999999999999998</v>
      </c>
      <c r="D55">
        <f t="shared" si="4"/>
        <v>4.846613337530381</v>
      </c>
    </row>
    <row r="56" spans="2:4" x14ac:dyDescent="0.25">
      <c r="B56">
        <f t="shared" si="3"/>
        <v>3384</v>
      </c>
      <c r="C56">
        <f t="shared" si="1"/>
        <v>2.35</v>
      </c>
      <c r="D56">
        <f t="shared" si="4"/>
        <v>4.9493235216430005</v>
      </c>
    </row>
    <row r="57" spans="2:4" x14ac:dyDescent="0.25">
      <c r="B57">
        <f t="shared" si="3"/>
        <v>3456</v>
      </c>
      <c r="C57">
        <f t="shared" si="1"/>
        <v>2.4</v>
      </c>
      <c r="D57">
        <f t="shared" si="4"/>
        <v>5.0519228386357913</v>
      </c>
    </row>
    <row r="58" spans="2:4" x14ac:dyDescent="0.25">
      <c r="B58">
        <f t="shared" si="3"/>
        <v>3528</v>
      </c>
      <c r="C58">
        <f t="shared" si="1"/>
        <v>2.4500000000000002</v>
      </c>
      <c r="D58">
        <f t="shared" si="4"/>
        <v>5.1544114081806258</v>
      </c>
    </row>
    <row r="59" spans="2:4" x14ac:dyDescent="0.25">
      <c r="B59">
        <f t="shared" si="3"/>
        <v>3600</v>
      </c>
      <c r="C59">
        <f t="shared" si="1"/>
        <v>2.5</v>
      </c>
      <c r="D59">
        <f t="shared" si="4"/>
        <v>5.2567893498201679</v>
      </c>
    </row>
    <row r="60" spans="2:4" x14ac:dyDescent="0.25">
      <c r="B60">
        <f t="shared" si="3"/>
        <v>3672</v>
      </c>
      <c r="C60">
        <f t="shared" si="1"/>
        <v>2.5499999999999998</v>
      </c>
      <c r="D60">
        <f t="shared" si="4"/>
        <v>5.3590567829680751</v>
      </c>
    </row>
    <row r="61" spans="2:4" x14ac:dyDescent="0.25">
      <c r="B61">
        <f t="shared" si="3"/>
        <v>3744</v>
      </c>
      <c r="C61">
        <f t="shared" si="1"/>
        <v>2.6</v>
      </c>
      <c r="D61">
        <f t="shared" si="4"/>
        <v>5.4612138269090726</v>
      </c>
    </row>
    <row r="62" spans="2:4" x14ac:dyDescent="0.25">
      <c r="B62">
        <f t="shared" si="3"/>
        <v>3816</v>
      </c>
      <c r="C62">
        <f t="shared" si="1"/>
        <v>2.65</v>
      </c>
      <c r="D62">
        <f t="shared" si="4"/>
        <v>5.5632606007991576</v>
      </c>
    </row>
    <row r="63" spans="2:4" x14ac:dyDescent="0.25">
      <c r="B63">
        <f t="shared" si="3"/>
        <v>3888</v>
      </c>
      <c r="C63">
        <f t="shared" si="1"/>
        <v>2.7</v>
      </c>
      <c r="D63">
        <f t="shared" si="4"/>
        <v>5.6651972236657073</v>
      </c>
    </row>
    <row r="64" spans="2:4" x14ac:dyDescent="0.25">
      <c r="B64">
        <f t="shared" si="3"/>
        <v>3960</v>
      </c>
      <c r="C64">
        <f t="shared" si="1"/>
        <v>2.75</v>
      </c>
      <c r="D64">
        <f t="shared" si="4"/>
        <v>5.7670238144076125</v>
      </c>
    </row>
    <row r="65" spans="2:4" x14ac:dyDescent="0.25">
      <c r="B65">
        <f t="shared" si="3"/>
        <v>4032</v>
      </c>
      <c r="C65">
        <f t="shared" si="1"/>
        <v>2.8</v>
      </c>
      <c r="D65">
        <f t="shared" si="4"/>
        <v>5.8687404917953989</v>
      </c>
    </row>
    <row r="66" spans="2:4" x14ac:dyDescent="0.25">
      <c r="B66">
        <f t="shared" si="3"/>
        <v>4104</v>
      </c>
      <c r="C66">
        <f t="shared" si="1"/>
        <v>2.85</v>
      </c>
      <c r="D66">
        <f t="shared" si="4"/>
        <v>5.9703473744714302</v>
      </c>
    </row>
    <row r="67" spans="2:4" x14ac:dyDescent="0.25">
      <c r="B67">
        <f t="shared" si="3"/>
        <v>4176</v>
      </c>
      <c r="C67">
        <f t="shared" si="1"/>
        <v>2.9</v>
      </c>
      <c r="D67">
        <f t="shared" si="4"/>
        <v>6.0718445809499695</v>
      </c>
    </row>
    <row r="68" spans="2:4" x14ac:dyDescent="0.25">
      <c r="B68">
        <f t="shared" si="3"/>
        <v>4248</v>
      </c>
      <c r="C68">
        <f t="shared" si="1"/>
        <v>2.95</v>
      </c>
      <c r="D68">
        <f t="shared" si="4"/>
        <v>6.1732322296173869</v>
      </c>
    </row>
    <row r="69" spans="2:4" x14ac:dyDescent="0.25">
      <c r="B69">
        <f t="shared" si="3"/>
        <v>4320</v>
      </c>
      <c r="C69">
        <f t="shared" si="1"/>
        <v>3</v>
      </c>
      <c r="D69">
        <f t="shared" si="4"/>
        <v>6.2745104387322286</v>
      </c>
    </row>
    <row r="70" spans="2:4" x14ac:dyDescent="0.25">
      <c r="B70">
        <f t="shared" si="3"/>
        <v>4392</v>
      </c>
      <c r="C70">
        <f t="shared" si="1"/>
        <v>3.05</v>
      </c>
      <c r="D70">
        <f t="shared" si="4"/>
        <v>6.3756793264254323</v>
      </c>
    </row>
    <row r="71" spans="2:4" x14ac:dyDescent="0.25">
      <c r="B71">
        <f t="shared" si="3"/>
        <v>4464</v>
      </c>
      <c r="C71">
        <f t="shared" si="1"/>
        <v>3.1</v>
      </c>
      <c r="D71">
        <f t="shared" si="4"/>
        <v>6.476739010700383</v>
      </c>
    </row>
    <row r="72" spans="2:4" x14ac:dyDescent="0.25">
      <c r="B72">
        <f t="shared" si="3"/>
        <v>4536</v>
      </c>
      <c r="C72">
        <f t="shared" si="1"/>
        <v>3.15</v>
      </c>
      <c r="D72">
        <f t="shared" si="4"/>
        <v>6.5776896094331132</v>
      </c>
    </row>
    <row r="73" spans="2:4" x14ac:dyDescent="0.25">
      <c r="B73">
        <f t="shared" si="3"/>
        <v>4608</v>
      </c>
      <c r="C73">
        <f t="shared" si="1"/>
        <v>3.2</v>
      </c>
      <c r="D73">
        <f t="shared" si="4"/>
        <v>6.6785312403724095</v>
      </c>
    </row>
    <row r="74" spans="2:4" x14ac:dyDescent="0.25">
      <c r="B74">
        <f t="shared" si="3"/>
        <v>4680</v>
      </c>
      <c r="C74">
        <f t="shared" ref="C74:C137" si="5">B74/24/60</f>
        <v>3.25</v>
      </c>
      <c r="D74">
        <f t="shared" si="4"/>
        <v>6.779264021139964</v>
      </c>
    </row>
    <row r="75" spans="2:4" x14ac:dyDescent="0.25">
      <c r="B75">
        <f t="shared" si="3"/>
        <v>4752</v>
      </c>
      <c r="C75">
        <f t="shared" si="5"/>
        <v>3.3</v>
      </c>
      <c r="D75">
        <f t="shared" si="4"/>
        <v>6.8798880692305104</v>
      </c>
    </row>
    <row r="76" spans="2:4" x14ac:dyDescent="0.25">
      <c r="B76">
        <f t="shared" si="3"/>
        <v>4824</v>
      </c>
      <c r="C76">
        <f t="shared" si="5"/>
        <v>3.35</v>
      </c>
      <c r="D76">
        <f t="shared" si="4"/>
        <v>6.9804035020119448</v>
      </c>
    </row>
    <row r="77" spans="2:4" x14ac:dyDescent="0.25">
      <c r="B77">
        <f t="shared" ref="B77:B140" si="6">B76+$L$5</f>
        <v>4896</v>
      </c>
      <c r="C77">
        <f t="shared" si="5"/>
        <v>3.4</v>
      </c>
      <c r="D77">
        <f t="shared" ref="D77:D140" si="7">$C$4*(1-EXP(-$H$4*$C$5*$C$6*B77/$H$6))</f>
        <v>7.0808104367254714</v>
      </c>
    </row>
    <row r="78" spans="2:4" x14ac:dyDescent="0.25">
      <c r="B78">
        <f t="shared" si="6"/>
        <v>4968</v>
      </c>
      <c r="C78">
        <f t="shared" si="5"/>
        <v>3.45</v>
      </c>
      <c r="D78">
        <f t="shared" si="7"/>
        <v>7.1811089904857521</v>
      </c>
    </row>
    <row r="79" spans="2:4" x14ac:dyDescent="0.25">
      <c r="B79">
        <f t="shared" si="6"/>
        <v>5040</v>
      </c>
      <c r="C79">
        <f t="shared" si="5"/>
        <v>3.5</v>
      </c>
      <c r="D79">
        <f t="shared" si="7"/>
        <v>7.2812992802810506</v>
      </c>
    </row>
    <row r="80" spans="2:4" x14ac:dyDescent="0.25">
      <c r="B80">
        <f t="shared" si="6"/>
        <v>5112</v>
      </c>
      <c r="C80">
        <f t="shared" si="5"/>
        <v>3.55</v>
      </c>
      <c r="D80">
        <f t="shared" si="7"/>
        <v>7.3813814229732984</v>
      </c>
    </row>
    <row r="81" spans="2:4" x14ac:dyDescent="0.25">
      <c r="B81">
        <f t="shared" si="6"/>
        <v>5184</v>
      </c>
      <c r="C81">
        <f t="shared" si="5"/>
        <v>3.6</v>
      </c>
      <c r="D81">
        <f t="shared" si="7"/>
        <v>7.4813555352983503</v>
      </c>
    </row>
    <row r="82" spans="2:4" x14ac:dyDescent="0.25">
      <c r="B82">
        <f t="shared" si="6"/>
        <v>5256</v>
      </c>
      <c r="C82">
        <f t="shared" si="5"/>
        <v>3.65</v>
      </c>
      <c r="D82">
        <f t="shared" si="7"/>
        <v>7.5812217338660055</v>
      </c>
    </row>
    <row r="83" spans="2:4" x14ac:dyDescent="0.25">
      <c r="B83">
        <f t="shared" si="6"/>
        <v>5328</v>
      </c>
      <c r="C83">
        <f t="shared" si="5"/>
        <v>3.7</v>
      </c>
      <c r="D83">
        <f t="shared" si="7"/>
        <v>7.6809801351602207</v>
      </c>
    </row>
    <row r="84" spans="2:4" x14ac:dyDescent="0.25">
      <c r="B84">
        <f t="shared" si="6"/>
        <v>5400</v>
      </c>
      <c r="C84">
        <f t="shared" si="5"/>
        <v>3.75</v>
      </c>
      <c r="D84">
        <f t="shared" si="7"/>
        <v>7.7806308555391945</v>
      </c>
    </row>
    <row r="85" spans="2:4" x14ac:dyDescent="0.25">
      <c r="B85">
        <f t="shared" si="6"/>
        <v>5472</v>
      </c>
      <c r="C85">
        <f t="shared" si="5"/>
        <v>3.8</v>
      </c>
      <c r="D85">
        <f t="shared" si="7"/>
        <v>7.8801740112355407</v>
      </c>
    </row>
    <row r="86" spans="2:4" x14ac:dyDescent="0.25">
      <c r="B86">
        <f t="shared" si="6"/>
        <v>5544</v>
      </c>
      <c r="C86">
        <f t="shared" si="5"/>
        <v>3.85</v>
      </c>
      <c r="D86">
        <f t="shared" si="7"/>
        <v>7.9796097183564063</v>
      </c>
    </row>
    <row r="87" spans="2:4" x14ac:dyDescent="0.25">
      <c r="B87">
        <f t="shared" si="6"/>
        <v>5616</v>
      </c>
      <c r="C87">
        <f t="shared" si="5"/>
        <v>3.9</v>
      </c>
      <c r="D87">
        <f t="shared" si="7"/>
        <v>8.0789380928836252</v>
      </c>
    </row>
    <row r="88" spans="2:4" x14ac:dyDescent="0.25">
      <c r="B88">
        <f t="shared" si="6"/>
        <v>5688</v>
      </c>
      <c r="C88">
        <f t="shared" si="5"/>
        <v>3.95</v>
      </c>
      <c r="D88">
        <f t="shared" si="7"/>
        <v>8.1781592506738008</v>
      </c>
    </row>
    <row r="89" spans="2:4" x14ac:dyDescent="0.25">
      <c r="B89">
        <f t="shared" si="6"/>
        <v>5760</v>
      </c>
      <c r="C89">
        <f t="shared" si="5"/>
        <v>4</v>
      </c>
      <c r="D89">
        <f t="shared" si="7"/>
        <v>8.2772733074585219</v>
      </c>
    </row>
    <row r="90" spans="2:4" x14ac:dyDescent="0.25">
      <c r="B90">
        <f t="shared" si="6"/>
        <v>5832</v>
      </c>
      <c r="C90">
        <f t="shared" si="5"/>
        <v>4.05</v>
      </c>
      <c r="D90">
        <f t="shared" si="7"/>
        <v>8.3762803788444362</v>
      </c>
    </row>
    <row r="91" spans="2:4" x14ac:dyDescent="0.25">
      <c r="B91">
        <f t="shared" si="6"/>
        <v>5904</v>
      </c>
      <c r="C91">
        <f t="shared" si="5"/>
        <v>4.0999999999999996</v>
      </c>
      <c r="D91">
        <f t="shared" si="7"/>
        <v>8.4751805803133902</v>
      </c>
    </row>
    <row r="92" spans="2:4" x14ac:dyDescent="0.25">
      <c r="B92">
        <f t="shared" si="6"/>
        <v>5976</v>
      </c>
      <c r="C92">
        <f t="shared" si="5"/>
        <v>4.1500000000000004</v>
      </c>
      <c r="D92">
        <f t="shared" si="7"/>
        <v>8.5739740272225973</v>
      </c>
    </row>
    <row r="93" spans="2:4" x14ac:dyDescent="0.25">
      <c r="B93">
        <f t="shared" si="6"/>
        <v>6048</v>
      </c>
      <c r="C93">
        <f t="shared" si="5"/>
        <v>4.2</v>
      </c>
      <c r="D93">
        <f t="shared" si="7"/>
        <v>8.6726608348047467</v>
      </c>
    </row>
    <row r="94" spans="2:4" x14ac:dyDescent="0.25">
      <c r="B94">
        <f t="shared" si="6"/>
        <v>6120</v>
      </c>
      <c r="C94">
        <f t="shared" si="5"/>
        <v>4.25</v>
      </c>
      <c r="D94">
        <f t="shared" si="7"/>
        <v>8.7712411181681382</v>
      </c>
    </row>
    <row r="95" spans="2:4" x14ac:dyDescent="0.25">
      <c r="B95">
        <f t="shared" si="6"/>
        <v>6192</v>
      </c>
      <c r="C95">
        <f t="shared" si="5"/>
        <v>4.3</v>
      </c>
      <c r="D95">
        <f t="shared" si="7"/>
        <v>8.8697149922968279</v>
      </c>
    </row>
    <row r="96" spans="2:4" x14ac:dyDescent="0.25">
      <c r="B96">
        <f t="shared" si="6"/>
        <v>6264</v>
      </c>
      <c r="C96">
        <f t="shared" si="5"/>
        <v>4.3499999999999996</v>
      </c>
      <c r="D96">
        <f t="shared" si="7"/>
        <v>8.9680825720507507</v>
      </c>
    </row>
    <row r="97" spans="2:4" x14ac:dyDescent="0.25">
      <c r="B97">
        <f t="shared" si="6"/>
        <v>6336</v>
      </c>
      <c r="C97">
        <f t="shared" si="5"/>
        <v>4.4000000000000004</v>
      </c>
      <c r="D97">
        <f t="shared" si="7"/>
        <v>9.0663439721658694</v>
      </c>
    </row>
    <row r="98" spans="2:4" x14ac:dyDescent="0.25">
      <c r="B98">
        <f t="shared" si="6"/>
        <v>6408</v>
      </c>
      <c r="C98">
        <f t="shared" si="5"/>
        <v>4.45</v>
      </c>
      <c r="D98">
        <f t="shared" si="7"/>
        <v>9.1644993072542817</v>
      </c>
    </row>
    <row r="99" spans="2:4" x14ac:dyDescent="0.25">
      <c r="B99">
        <f t="shared" si="6"/>
        <v>6480</v>
      </c>
      <c r="C99">
        <f t="shared" si="5"/>
        <v>4.5</v>
      </c>
      <c r="D99">
        <f t="shared" si="7"/>
        <v>9.2625486918043833</v>
      </c>
    </row>
    <row r="100" spans="2:4" x14ac:dyDescent="0.25">
      <c r="B100">
        <f t="shared" si="6"/>
        <v>6552</v>
      </c>
      <c r="C100">
        <f t="shared" si="5"/>
        <v>4.55</v>
      </c>
      <c r="D100">
        <f t="shared" si="7"/>
        <v>9.3604922401810065</v>
      </c>
    </row>
    <row r="101" spans="2:4" x14ac:dyDescent="0.25">
      <c r="B101">
        <f t="shared" si="6"/>
        <v>6624</v>
      </c>
      <c r="C101">
        <f t="shared" si="5"/>
        <v>4.5999999999999996</v>
      </c>
      <c r="D101">
        <f t="shared" si="7"/>
        <v>9.4583300666254981</v>
      </c>
    </row>
    <row r="102" spans="2:4" x14ac:dyDescent="0.25">
      <c r="B102">
        <f t="shared" si="6"/>
        <v>6696</v>
      </c>
      <c r="C102">
        <f t="shared" si="5"/>
        <v>4.6500000000000004</v>
      </c>
      <c r="D102">
        <f t="shared" si="7"/>
        <v>9.5560622852559067</v>
      </c>
    </row>
    <row r="103" spans="2:4" x14ac:dyDescent="0.25">
      <c r="B103">
        <f t="shared" si="6"/>
        <v>6768</v>
      </c>
      <c r="C103">
        <f t="shared" si="5"/>
        <v>4.7</v>
      </c>
      <c r="D103">
        <f t="shared" si="7"/>
        <v>9.6536890100671116</v>
      </c>
    </row>
    <row r="104" spans="2:4" x14ac:dyDescent="0.25">
      <c r="B104">
        <f t="shared" si="6"/>
        <v>6840</v>
      </c>
      <c r="C104">
        <f t="shared" si="5"/>
        <v>4.75</v>
      </c>
      <c r="D104">
        <f t="shared" si="7"/>
        <v>9.7512103549309401</v>
      </c>
    </row>
    <row r="105" spans="2:4" x14ac:dyDescent="0.25">
      <c r="B105">
        <f t="shared" si="6"/>
        <v>6912</v>
      </c>
      <c r="C105">
        <f t="shared" si="5"/>
        <v>4.8</v>
      </c>
      <c r="D105">
        <f t="shared" si="7"/>
        <v>9.8486264335962979</v>
      </c>
    </row>
    <row r="106" spans="2:4" x14ac:dyDescent="0.25">
      <c r="B106">
        <f t="shared" si="6"/>
        <v>6984</v>
      </c>
      <c r="C106">
        <f t="shared" si="5"/>
        <v>4.8499999999999996</v>
      </c>
      <c r="D106">
        <f t="shared" si="7"/>
        <v>9.9459373596892942</v>
      </c>
    </row>
    <row r="107" spans="2:4" x14ac:dyDescent="0.25">
      <c r="B107">
        <f t="shared" si="6"/>
        <v>7056</v>
      </c>
      <c r="C107">
        <f t="shared" si="5"/>
        <v>4.9000000000000004</v>
      </c>
      <c r="D107">
        <f t="shared" si="7"/>
        <v>10.043143246713427</v>
      </c>
    </row>
    <row r="108" spans="2:4" x14ac:dyDescent="0.25">
      <c r="B108">
        <f t="shared" si="6"/>
        <v>7128</v>
      </c>
      <c r="C108">
        <f t="shared" si="5"/>
        <v>4.95</v>
      </c>
      <c r="D108">
        <f t="shared" si="7"/>
        <v>10.140244208049642</v>
      </c>
    </row>
    <row r="109" spans="2:4" x14ac:dyDescent="0.25">
      <c r="B109">
        <f t="shared" si="6"/>
        <v>7200</v>
      </c>
      <c r="C109">
        <f t="shared" si="5"/>
        <v>5</v>
      </c>
      <c r="D109">
        <f t="shared" si="7"/>
        <v>10.237240356956512</v>
      </c>
    </row>
    <row r="110" spans="2:4" x14ac:dyDescent="0.25">
      <c r="B110">
        <f t="shared" si="6"/>
        <v>7272</v>
      </c>
      <c r="C110">
        <f t="shared" si="5"/>
        <v>5.05</v>
      </c>
      <c r="D110">
        <f t="shared" si="7"/>
        <v>10.334131806570356</v>
      </c>
    </row>
    <row r="111" spans="2:4" x14ac:dyDescent="0.25">
      <c r="B111">
        <f t="shared" si="6"/>
        <v>7344</v>
      </c>
      <c r="C111">
        <f t="shared" si="5"/>
        <v>5.0999999999999996</v>
      </c>
      <c r="D111">
        <f t="shared" si="7"/>
        <v>10.430918669905376</v>
      </c>
    </row>
    <row r="112" spans="2:4" x14ac:dyDescent="0.25">
      <c r="B112">
        <f t="shared" si="6"/>
        <v>7416</v>
      </c>
      <c r="C112">
        <f t="shared" si="5"/>
        <v>5.15</v>
      </c>
      <c r="D112">
        <f t="shared" si="7"/>
        <v>10.527601059853776</v>
      </c>
    </row>
    <row r="113" spans="2:4" x14ac:dyDescent="0.25">
      <c r="B113">
        <f t="shared" si="6"/>
        <v>7488</v>
      </c>
      <c r="C113">
        <f t="shared" si="5"/>
        <v>5.2</v>
      </c>
      <c r="D113">
        <f t="shared" si="7"/>
        <v>10.624179089185915</v>
      </c>
    </row>
    <row r="114" spans="2:4" x14ac:dyDescent="0.25">
      <c r="B114">
        <f t="shared" si="6"/>
        <v>7560</v>
      </c>
      <c r="C114">
        <f t="shared" si="5"/>
        <v>5.25</v>
      </c>
      <c r="D114">
        <f t="shared" si="7"/>
        <v>10.720652870550406</v>
      </c>
    </row>
    <row r="115" spans="2:4" x14ac:dyDescent="0.25">
      <c r="B115">
        <f t="shared" si="6"/>
        <v>7632</v>
      </c>
      <c r="C115">
        <f t="shared" si="5"/>
        <v>5.3</v>
      </c>
      <c r="D115">
        <f t="shared" si="7"/>
        <v>10.817022516474283</v>
      </c>
    </row>
    <row r="116" spans="2:4" x14ac:dyDescent="0.25">
      <c r="B116">
        <f t="shared" si="6"/>
        <v>7704</v>
      </c>
      <c r="C116">
        <f t="shared" si="5"/>
        <v>5.35</v>
      </c>
      <c r="D116">
        <f t="shared" si="7"/>
        <v>10.913288139363109</v>
      </c>
    </row>
    <row r="117" spans="2:4" x14ac:dyDescent="0.25">
      <c r="B117">
        <f t="shared" si="6"/>
        <v>7776</v>
      </c>
      <c r="C117">
        <f t="shared" si="5"/>
        <v>5.4</v>
      </c>
      <c r="D117">
        <f t="shared" si="7"/>
        <v>11.009449851501129</v>
      </c>
    </row>
    <row r="118" spans="2:4" x14ac:dyDescent="0.25">
      <c r="B118">
        <f t="shared" si="6"/>
        <v>7848</v>
      </c>
      <c r="C118">
        <f t="shared" si="5"/>
        <v>5.45</v>
      </c>
      <c r="D118">
        <f t="shared" si="7"/>
        <v>11.105507765051359</v>
      </c>
    </row>
    <row r="119" spans="2:4" x14ac:dyDescent="0.25">
      <c r="B119">
        <f t="shared" si="6"/>
        <v>7920</v>
      </c>
      <c r="C119">
        <f t="shared" si="5"/>
        <v>5.5</v>
      </c>
      <c r="D119">
        <f t="shared" si="7"/>
        <v>11.201461992055773</v>
      </c>
    </row>
    <row r="120" spans="2:4" x14ac:dyDescent="0.25">
      <c r="B120">
        <f t="shared" si="6"/>
        <v>7992</v>
      </c>
      <c r="C120">
        <f t="shared" si="5"/>
        <v>5.55</v>
      </c>
      <c r="D120">
        <f t="shared" si="7"/>
        <v>11.297312644435387</v>
      </c>
    </row>
    <row r="121" spans="2:4" x14ac:dyDescent="0.25">
      <c r="B121">
        <f t="shared" si="6"/>
        <v>8064</v>
      </c>
      <c r="C121">
        <f t="shared" si="5"/>
        <v>5.6</v>
      </c>
      <c r="D121">
        <f t="shared" si="7"/>
        <v>11.393059833990405</v>
      </c>
    </row>
    <row r="122" spans="2:4" x14ac:dyDescent="0.25">
      <c r="B122">
        <f t="shared" si="6"/>
        <v>8136</v>
      </c>
      <c r="C122">
        <f t="shared" si="5"/>
        <v>5.65</v>
      </c>
      <c r="D122">
        <f t="shared" si="7"/>
        <v>11.48870367240038</v>
      </c>
    </row>
    <row r="123" spans="2:4" x14ac:dyDescent="0.25">
      <c r="B123">
        <f t="shared" si="6"/>
        <v>8208</v>
      </c>
      <c r="C123">
        <f t="shared" si="5"/>
        <v>5.7</v>
      </c>
      <c r="D123">
        <f t="shared" si="7"/>
        <v>11.584244271224275</v>
      </c>
    </row>
    <row r="124" spans="2:4" x14ac:dyDescent="0.25">
      <c r="B124">
        <f t="shared" si="6"/>
        <v>8280</v>
      </c>
      <c r="C124">
        <f t="shared" si="5"/>
        <v>5.75</v>
      </c>
      <c r="D124">
        <f t="shared" si="7"/>
        <v>11.67968174190066</v>
      </c>
    </row>
    <row r="125" spans="2:4" x14ac:dyDescent="0.25">
      <c r="B125">
        <f t="shared" si="6"/>
        <v>8352</v>
      </c>
      <c r="C125">
        <f t="shared" si="5"/>
        <v>5.8</v>
      </c>
      <c r="D125">
        <f t="shared" si="7"/>
        <v>11.775016195747822</v>
      </c>
    </row>
    <row r="126" spans="2:4" x14ac:dyDescent="0.25">
      <c r="B126">
        <f t="shared" si="6"/>
        <v>8424</v>
      </c>
      <c r="C126">
        <f t="shared" si="5"/>
        <v>5.85</v>
      </c>
      <c r="D126">
        <f t="shared" si="7"/>
        <v>11.870247743963869</v>
      </c>
    </row>
    <row r="127" spans="2:4" x14ac:dyDescent="0.25">
      <c r="B127">
        <f t="shared" si="6"/>
        <v>8496</v>
      </c>
      <c r="C127">
        <f t="shared" si="5"/>
        <v>5.9</v>
      </c>
      <c r="D127">
        <f t="shared" si="7"/>
        <v>11.965376497626901</v>
      </c>
    </row>
    <row r="128" spans="2:4" x14ac:dyDescent="0.25">
      <c r="B128">
        <f t="shared" si="6"/>
        <v>8568</v>
      </c>
      <c r="C128">
        <f t="shared" si="5"/>
        <v>5.95</v>
      </c>
      <c r="D128">
        <f t="shared" si="7"/>
        <v>12.060402567695094</v>
      </c>
    </row>
    <row r="129" spans="2:4" x14ac:dyDescent="0.25">
      <c r="B129">
        <f t="shared" si="6"/>
        <v>8640</v>
      </c>
      <c r="C129">
        <f t="shared" si="5"/>
        <v>6</v>
      </c>
      <c r="D129">
        <f t="shared" si="7"/>
        <v>12.155326065006866</v>
      </c>
    </row>
    <row r="130" spans="2:4" x14ac:dyDescent="0.25">
      <c r="B130">
        <f t="shared" si="6"/>
        <v>8712</v>
      </c>
      <c r="C130">
        <f t="shared" si="5"/>
        <v>6.05</v>
      </c>
      <c r="D130">
        <f t="shared" si="7"/>
        <v>12.250147100281005</v>
      </c>
    </row>
    <row r="131" spans="2:4" x14ac:dyDescent="0.25">
      <c r="B131">
        <f t="shared" si="6"/>
        <v>8784</v>
      </c>
      <c r="C131">
        <f t="shared" si="5"/>
        <v>6.1</v>
      </c>
      <c r="D131">
        <f t="shared" si="7"/>
        <v>12.344865784116777</v>
      </c>
    </row>
    <row r="132" spans="2:4" x14ac:dyDescent="0.25">
      <c r="B132">
        <f t="shared" si="6"/>
        <v>8856</v>
      </c>
      <c r="C132">
        <f t="shared" si="5"/>
        <v>6.15</v>
      </c>
      <c r="D132">
        <f t="shared" si="7"/>
        <v>12.439482226994059</v>
      </c>
    </row>
    <row r="133" spans="2:4" x14ac:dyDescent="0.25">
      <c r="B133">
        <f t="shared" si="6"/>
        <v>8928</v>
      </c>
      <c r="C133">
        <f t="shared" si="5"/>
        <v>6.2</v>
      </c>
      <c r="D133">
        <f t="shared" si="7"/>
        <v>12.533996539273485</v>
      </c>
    </row>
    <row r="134" spans="2:4" x14ac:dyDescent="0.25">
      <c r="B134">
        <f t="shared" si="6"/>
        <v>9000</v>
      </c>
      <c r="C134">
        <f t="shared" si="5"/>
        <v>6.25</v>
      </c>
      <c r="D134">
        <f t="shared" si="7"/>
        <v>12.628408831196559</v>
      </c>
    </row>
    <row r="135" spans="2:4" x14ac:dyDescent="0.25">
      <c r="B135">
        <f t="shared" si="6"/>
        <v>9072</v>
      </c>
      <c r="C135">
        <f t="shared" si="5"/>
        <v>6.3</v>
      </c>
      <c r="D135">
        <f t="shared" si="7"/>
        <v>12.72271921288578</v>
      </c>
    </row>
    <row r="136" spans="2:4" x14ac:dyDescent="0.25">
      <c r="B136">
        <f t="shared" si="6"/>
        <v>9144</v>
      </c>
      <c r="C136">
        <f t="shared" si="5"/>
        <v>6.35</v>
      </c>
      <c r="D136">
        <f t="shared" si="7"/>
        <v>12.816927794344801</v>
      </c>
    </row>
    <row r="137" spans="2:4" x14ac:dyDescent="0.25">
      <c r="B137">
        <f t="shared" si="6"/>
        <v>9216</v>
      </c>
      <c r="C137">
        <f t="shared" si="5"/>
        <v>6.4</v>
      </c>
      <c r="D137">
        <f t="shared" si="7"/>
        <v>12.911034685458523</v>
      </c>
    </row>
    <row r="138" spans="2:4" x14ac:dyDescent="0.25">
      <c r="B138">
        <f t="shared" si="6"/>
        <v>9288</v>
      </c>
      <c r="C138">
        <f t="shared" ref="C138:C168" si="8">B138/24/60</f>
        <v>6.45</v>
      </c>
      <c r="D138">
        <f t="shared" si="7"/>
        <v>13.005039995993217</v>
      </c>
    </row>
    <row r="139" spans="2:4" x14ac:dyDescent="0.25">
      <c r="B139">
        <f t="shared" si="6"/>
        <v>9360</v>
      </c>
      <c r="C139">
        <f t="shared" si="8"/>
        <v>6.5</v>
      </c>
      <c r="D139">
        <f t="shared" si="7"/>
        <v>13.09894383559671</v>
      </c>
    </row>
    <row r="140" spans="2:4" x14ac:dyDescent="0.25">
      <c r="B140">
        <f t="shared" si="6"/>
        <v>9432</v>
      </c>
      <c r="C140">
        <f t="shared" si="8"/>
        <v>6.55</v>
      </c>
      <c r="D140">
        <f t="shared" si="7"/>
        <v>13.19274631379843</v>
      </c>
    </row>
    <row r="141" spans="2:4" x14ac:dyDescent="0.25">
      <c r="B141">
        <f t="shared" ref="B141:B168" si="9">B140+$L$5</f>
        <v>9504</v>
      </c>
      <c r="C141">
        <f t="shared" si="8"/>
        <v>6.6</v>
      </c>
      <c r="D141">
        <f t="shared" ref="D141:D146" si="10">$C$4*(1-EXP(-$H$4*$C$5*$C$6*B141/$H$6))</f>
        <v>13.286447540009616</v>
      </c>
    </row>
    <row r="142" spans="2:4" x14ac:dyDescent="0.25">
      <c r="B142">
        <f t="shared" si="9"/>
        <v>9576</v>
      </c>
      <c r="C142">
        <f t="shared" si="8"/>
        <v>6.65</v>
      </c>
      <c r="D142">
        <f t="shared" si="10"/>
        <v>13.380047623523383</v>
      </c>
    </row>
    <row r="143" spans="2:4" x14ac:dyDescent="0.25">
      <c r="B143">
        <f t="shared" si="9"/>
        <v>9648</v>
      </c>
      <c r="C143">
        <f t="shared" si="8"/>
        <v>6.7</v>
      </c>
      <c r="D143">
        <f t="shared" si="10"/>
        <v>13.47354667351488</v>
      </c>
    </row>
    <row r="144" spans="2:4" x14ac:dyDescent="0.25">
      <c r="B144">
        <f t="shared" si="9"/>
        <v>9720</v>
      </c>
      <c r="C144">
        <f t="shared" si="8"/>
        <v>6.75</v>
      </c>
      <c r="D144">
        <f t="shared" si="10"/>
        <v>13.566944799041403</v>
      </c>
    </row>
    <row r="145" spans="2:4" x14ac:dyDescent="0.25">
      <c r="B145">
        <f t="shared" si="9"/>
        <v>9792</v>
      </c>
      <c r="C145">
        <f t="shared" si="8"/>
        <v>6.8</v>
      </c>
      <c r="D145">
        <f t="shared" si="10"/>
        <v>13.660242109042532</v>
      </c>
    </row>
    <row r="146" spans="2:4" x14ac:dyDescent="0.25">
      <c r="B146">
        <f t="shared" si="9"/>
        <v>9864</v>
      </c>
      <c r="C146">
        <f t="shared" si="8"/>
        <v>6.85</v>
      </c>
      <c r="D146">
        <f t="shared" si="10"/>
        <v>13.753438712340282</v>
      </c>
    </row>
    <row r="147" spans="2:4" x14ac:dyDescent="0.25">
      <c r="B147">
        <f t="shared" si="9"/>
        <v>9936</v>
      </c>
      <c r="C147">
        <f t="shared" si="8"/>
        <v>6.9</v>
      </c>
      <c r="D147">
        <f>$C$4*(1-EXP(-$H$4*$C$5*$C$6*B147/$H$6))</f>
        <v>13.846534717639159</v>
      </c>
    </row>
    <row r="148" spans="2:4" x14ac:dyDescent="0.25">
      <c r="B148">
        <f t="shared" si="9"/>
        <v>10008</v>
      </c>
      <c r="C148">
        <f t="shared" si="8"/>
        <v>6.95</v>
      </c>
      <c r="D148">
        <f t="shared" ref="D148:D168" si="11">$C$4*(1-EXP(-$H$4*$C$5*$C$6*B148/$H$6))</f>
        <v>13.939530233526366</v>
      </c>
    </row>
    <row r="149" spans="2:4" x14ac:dyDescent="0.25">
      <c r="B149">
        <f t="shared" si="9"/>
        <v>10080</v>
      </c>
      <c r="C149">
        <f t="shared" si="8"/>
        <v>7</v>
      </c>
      <c r="D149">
        <f t="shared" si="11"/>
        <v>14.032425368471879</v>
      </c>
    </row>
    <row r="150" spans="2:4" x14ac:dyDescent="0.25">
      <c r="B150">
        <f t="shared" si="9"/>
        <v>10152</v>
      </c>
      <c r="C150">
        <f t="shared" si="8"/>
        <v>7.05</v>
      </c>
      <c r="D150">
        <f t="shared" si="11"/>
        <v>14.125220230828594</v>
      </c>
    </row>
    <row r="151" spans="2:4" x14ac:dyDescent="0.25">
      <c r="B151">
        <f t="shared" si="9"/>
        <v>10224</v>
      </c>
      <c r="C151">
        <f t="shared" si="8"/>
        <v>7.1</v>
      </c>
      <c r="D151">
        <f t="shared" si="11"/>
        <v>14.217914928832453</v>
      </c>
    </row>
    <row r="152" spans="2:4" x14ac:dyDescent="0.25">
      <c r="B152">
        <f t="shared" si="9"/>
        <v>10296</v>
      </c>
      <c r="C152">
        <f t="shared" si="8"/>
        <v>7.15</v>
      </c>
      <c r="D152">
        <f t="shared" si="11"/>
        <v>14.310509570602559</v>
      </c>
    </row>
    <row r="153" spans="2:4" x14ac:dyDescent="0.25">
      <c r="B153">
        <f t="shared" si="9"/>
        <v>10368</v>
      </c>
      <c r="C153">
        <f t="shared" si="8"/>
        <v>7.2</v>
      </c>
      <c r="D153">
        <f t="shared" si="11"/>
        <v>14.403004264141316</v>
      </c>
    </row>
    <row r="154" spans="2:4" x14ac:dyDescent="0.25">
      <c r="B154">
        <f t="shared" si="9"/>
        <v>10440</v>
      </c>
      <c r="C154">
        <f t="shared" si="8"/>
        <v>7.25</v>
      </c>
      <c r="D154">
        <f t="shared" si="11"/>
        <v>14.495399117334539</v>
      </c>
    </row>
    <row r="155" spans="2:4" x14ac:dyDescent="0.25">
      <c r="B155">
        <f t="shared" si="9"/>
        <v>10512</v>
      </c>
      <c r="C155">
        <f t="shared" si="8"/>
        <v>7.3</v>
      </c>
      <c r="D155">
        <f t="shared" si="11"/>
        <v>14.587694237951599</v>
      </c>
    </row>
    <row r="156" spans="2:4" x14ac:dyDescent="0.25">
      <c r="B156">
        <f t="shared" si="9"/>
        <v>10584</v>
      </c>
      <c r="C156">
        <f t="shared" si="8"/>
        <v>7.35</v>
      </c>
      <c r="D156">
        <f t="shared" si="11"/>
        <v>14.679889733645535</v>
      </c>
    </row>
    <row r="157" spans="2:4" x14ac:dyDescent="0.25">
      <c r="B157">
        <f t="shared" si="9"/>
        <v>10656</v>
      </c>
      <c r="C157">
        <f t="shared" si="8"/>
        <v>7.4</v>
      </c>
      <c r="D157">
        <f t="shared" si="11"/>
        <v>14.771985711953183</v>
      </c>
    </row>
    <row r="158" spans="2:4" x14ac:dyDescent="0.25">
      <c r="B158">
        <f t="shared" si="9"/>
        <v>10728</v>
      </c>
      <c r="C158">
        <f t="shared" si="8"/>
        <v>7.45</v>
      </c>
      <c r="D158">
        <f t="shared" si="11"/>
        <v>14.863982280295296</v>
      </c>
    </row>
    <row r="159" spans="2:4" x14ac:dyDescent="0.25">
      <c r="B159">
        <f t="shared" si="9"/>
        <v>10800</v>
      </c>
      <c r="C159">
        <f t="shared" si="8"/>
        <v>7.5</v>
      </c>
      <c r="D159">
        <f t="shared" si="11"/>
        <v>14.955879545976703</v>
      </c>
    </row>
    <row r="160" spans="2:4" x14ac:dyDescent="0.25">
      <c r="B160">
        <f t="shared" si="9"/>
        <v>10872</v>
      </c>
      <c r="C160">
        <f t="shared" si="8"/>
        <v>7.55</v>
      </c>
      <c r="D160">
        <f t="shared" si="11"/>
        <v>15.047677616186361</v>
      </c>
    </row>
    <row r="161" spans="2:4" x14ac:dyDescent="0.25">
      <c r="B161">
        <f t="shared" si="9"/>
        <v>10944</v>
      </c>
      <c r="C161">
        <f t="shared" si="8"/>
        <v>7.6</v>
      </c>
      <c r="D161">
        <f t="shared" si="11"/>
        <v>15.139376597997556</v>
      </c>
    </row>
    <row r="162" spans="2:4" x14ac:dyDescent="0.25">
      <c r="B162">
        <f t="shared" si="9"/>
        <v>11016</v>
      </c>
      <c r="C162">
        <f t="shared" si="8"/>
        <v>7.65</v>
      </c>
      <c r="D162">
        <f t="shared" si="11"/>
        <v>15.230976598368006</v>
      </c>
    </row>
    <row r="163" spans="2:4" x14ac:dyDescent="0.25">
      <c r="B163">
        <f t="shared" si="9"/>
        <v>11088</v>
      </c>
      <c r="C163">
        <f t="shared" si="8"/>
        <v>7.7</v>
      </c>
      <c r="D163">
        <f t="shared" si="11"/>
        <v>15.322477724139938</v>
      </c>
    </row>
    <row r="164" spans="2:4" x14ac:dyDescent="0.25">
      <c r="B164">
        <f t="shared" si="9"/>
        <v>11160</v>
      </c>
      <c r="C164">
        <f t="shared" si="8"/>
        <v>7.75</v>
      </c>
      <c r="D164">
        <f t="shared" si="11"/>
        <v>15.413880082040288</v>
      </c>
    </row>
    <row r="165" spans="2:4" x14ac:dyDescent="0.25">
      <c r="B165">
        <f t="shared" si="9"/>
        <v>11232</v>
      </c>
      <c r="C165">
        <f t="shared" si="8"/>
        <v>7.8</v>
      </c>
      <c r="D165">
        <f t="shared" si="11"/>
        <v>15.505183778680786</v>
      </c>
    </row>
    <row r="166" spans="2:4" x14ac:dyDescent="0.25">
      <c r="B166">
        <f t="shared" si="9"/>
        <v>11304</v>
      </c>
      <c r="C166">
        <f t="shared" si="8"/>
        <v>7.85</v>
      </c>
      <c r="D166">
        <f t="shared" si="11"/>
        <v>15.596388920558057</v>
      </c>
    </row>
    <row r="167" spans="2:4" x14ac:dyDescent="0.25">
      <c r="B167">
        <f t="shared" si="9"/>
        <v>11376</v>
      </c>
      <c r="C167">
        <f t="shared" si="8"/>
        <v>7.9</v>
      </c>
      <c r="D167">
        <f t="shared" si="11"/>
        <v>15.687495614053793</v>
      </c>
    </row>
    <row r="168" spans="2:4" x14ac:dyDescent="0.25">
      <c r="B168">
        <f t="shared" si="9"/>
        <v>11448</v>
      </c>
      <c r="C168">
        <f t="shared" si="8"/>
        <v>7.95</v>
      </c>
      <c r="D168">
        <f t="shared" si="11"/>
        <v>15.778503965434854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University Of Leeds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Civ Eng User</dc:creator>
  <cp:lastModifiedBy>Catherine Noakes</cp:lastModifiedBy>
  <dcterms:created xsi:type="dcterms:W3CDTF">2011-11-14T15:40:48Z</dcterms:created>
  <dcterms:modified xsi:type="dcterms:W3CDTF">2015-10-21T15:28:39Z</dcterms:modified>
</cp:coreProperties>
</file>